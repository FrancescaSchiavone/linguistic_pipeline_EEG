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liveunibo-my.sharepoint.com/personal/francesca_schiavon10_studio_unibo_it/Documents/Desktop/IMT/TESI/linguistic_pipeline_EEG/doc/"/>
    </mc:Choice>
  </mc:AlternateContent>
  <xr:revisionPtr revIDLastSave="144" documentId="11_953D47EDC64DAA0F9222AC7A047C392FA77C6576" xr6:coauthVersionLast="47" xr6:coauthVersionMax="47" xr10:uidLastSave="{05C44626-09CD-4F56-9E71-1652AE0C5A69}"/>
  <bookViews>
    <workbookView minimized="1" xWindow="1700" yWindow="2920" windowWidth="14400" windowHeight="81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GdSyHtw70zU4aKiYuT/hNEQF3qy7tzvu7FwoI7GTQow="/>
    </ext>
  </extLst>
</workbook>
</file>

<file path=xl/calcChain.xml><?xml version="1.0" encoding="utf-8"?>
<calcChain xmlns="http://schemas.openxmlformats.org/spreadsheetml/2006/main">
  <c r="G10" i="1" l="1"/>
  <c r="G12" i="1"/>
  <c r="G14" i="1"/>
  <c r="G16" i="1"/>
  <c r="G18" i="1"/>
  <c r="G20" i="1"/>
  <c r="G8" i="1"/>
  <c r="G6" i="1"/>
  <c r="G4" i="1"/>
  <c r="G2" i="1"/>
  <c r="C21" i="1"/>
  <c r="C19" i="1"/>
  <c r="C17" i="1"/>
  <c r="C15" i="1"/>
  <c r="C13" i="1"/>
  <c r="C11" i="1"/>
  <c r="C9" i="1"/>
  <c r="C7" i="1"/>
  <c r="C5" i="1"/>
  <c r="C3" i="1"/>
</calcChain>
</file>

<file path=xl/sharedStrings.xml><?xml version="1.0" encoding="utf-8"?>
<sst xmlns="http://schemas.openxmlformats.org/spreadsheetml/2006/main" count="35" uniqueCount="34">
  <si>
    <t>BEGIN</t>
  </si>
  <si>
    <t>END</t>
  </si>
  <si>
    <t>WORD</t>
  </si>
  <si>
    <t xml:space="preserve">durata in 100Hz time points </t>
  </si>
  <si>
    <t>camicia</t>
  </si>
  <si>
    <t>mannaggia</t>
  </si>
  <si>
    <t>cliente</t>
  </si>
  <si>
    <t>c'</t>
  </si>
  <si>
    <t>felici</t>
  </si>
  <si>
    <t>questa</t>
  </si>
  <si>
    <t>andare</t>
  </si>
  <si>
    <t>St01_D</t>
  </si>
  <si>
    <t>mondo</t>
  </si>
  <si>
    <t>un</t>
  </si>
  <si>
    <t>St02_D</t>
  </si>
  <si>
    <t>St03_D</t>
  </si>
  <si>
    <t>St04_D</t>
  </si>
  <si>
    <t>St05_D</t>
  </si>
  <si>
    <t>St06_D</t>
  </si>
  <si>
    <t>St07_D</t>
  </si>
  <si>
    <t>St08_D</t>
  </si>
  <si>
    <t>St09_D</t>
  </si>
  <si>
    <t>St10_D</t>
  </si>
  <si>
    <t>Stima durata media parola, storie gruppo D (circa 0.36 ms)</t>
  </si>
  <si>
    <t>una</t>
  </si>
  <si>
    <t>paura</t>
  </si>
  <si>
    <t>era</t>
  </si>
  <si>
    <t>leo</t>
  </si>
  <si>
    <t>l'</t>
  </si>
  <si>
    <t>incantesimo</t>
  </si>
  <si>
    <t>negli</t>
  </si>
  <si>
    <t>ringraziano</t>
  </si>
  <si>
    <t>Filippo</t>
  </si>
  <si>
    <t>cara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</si>
</sst>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ptos Narrow"/>
    </font>
    <font>
      <sz val="11"/>
      <color rgb="FF1D1C1D"/>
      <name val="Slack-Lato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4" fillId="0" borderId="0" xfId="0" applyFont="1"/>
    <xf numFmtId="0" fontId="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5"/>
  <sheetViews>
    <sheetView tabSelected="1" workbookViewId="0">
      <selection activeCell="G14" sqref="G14"/>
    </sheetView>
  </sheetViews>
  <sheetFormatPr defaultColWidth="11.25" defaultRowHeight="15" customHeight="1"/>
  <cols>
    <col min="1" max="6" width="10.58203125" customWidth="1"/>
    <col min="7" max="7" width="19.33203125" customWidth="1"/>
    <col min="8" max="26" width="10.58203125" customWidth="1"/>
  </cols>
  <sheetData>
    <row r="1" spans="1:10" ht="37" customHeight="1">
      <c r="B1" s="3" t="s">
        <v>0</v>
      </c>
      <c r="C1" s="3" t="s">
        <v>1</v>
      </c>
      <c r="D1" s="3" t="s">
        <v>2</v>
      </c>
      <c r="G1" s="2" t="s">
        <v>3</v>
      </c>
      <c r="I1" s="5" t="s">
        <v>23</v>
      </c>
      <c r="J1">
        <v>16000</v>
      </c>
    </row>
    <row r="2" spans="1:10" ht="15.75" customHeight="1">
      <c r="A2" t="s">
        <v>11</v>
      </c>
      <c r="B2">
        <v>236817</v>
      </c>
      <c r="D2" t="s">
        <v>13</v>
      </c>
      <c r="G2">
        <f>ROUND(((C3-B2)*100)/44100,0)</f>
        <v>20064</v>
      </c>
    </row>
    <row r="3" spans="1:10" ht="15.75" customHeight="1">
      <c r="C3">
        <f>9069165+J1</f>
        <v>9085165</v>
      </c>
      <c r="D3" t="s">
        <v>12</v>
      </c>
    </row>
    <row r="4" spans="1:10" ht="15.75" customHeight="1">
      <c r="A4" t="s">
        <v>14</v>
      </c>
      <c r="B4">
        <v>227115</v>
      </c>
      <c r="D4" t="s">
        <v>13</v>
      </c>
      <c r="G4" s="1">
        <f>ROUND(((C5-B4)*100)/44100,0)</f>
        <v>21609</v>
      </c>
    </row>
    <row r="5" spans="1:10" ht="15.75" customHeight="1">
      <c r="C5">
        <f>9740808+J1</f>
        <v>9756808</v>
      </c>
      <c r="D5" t="s">
        <v>4</v>
      </c>
    </row>
    <row r="6" spans="1:10" ht="15.75" customHeight="1">
      <c r="A6" s="4" t="s">
        <v>15</v>
      </c>
      <c r="B6">
        <v>193599</v>
      </c>
      <c r="D6" t="s">
        <v>24</v>
      </c>
      <c r="G6">
        <f>ROUND(((C7-B6)*100)/44100,0)</f>
        <v>20369</v>
      </c>
    </row>
    <row r="7" spans="1:10" ht="15.75" customHeight="1">
      <c r="C7">
        <f>9160452+J1</f>
        <v>9176452</v>
      </c>
      <c r="D7" t="s">
        <v>25</v>
      </c>
      <c r="G7" s="6"/>
    </row>
    <row r="8" spans="1:10" ht="15.75" customHeight="1">
      <c r="A8" s="4" t="s">
        <v>16</v>
      </c>
      <c r="B8">
        <v>190512</v>
      </c>
      <c r="D8" t="s">
        <v>26</v>
      </c>
      <c r="G8">
        <f>ROUND(((C9-B8)*100)/44100,0)</f>
        <v>21112</v>
      </c>
    </row>
    <row r="9" spans="1:10" ht="15.75" customHeight="1">
      <c r="C9">
        <f>9485028+J1</f>
        <v>9501028</v>
      </c>
      <c r="D9" t="s">
        <v>5</v>
      </c>
    </row>
    <row r="10" spans="1:10" ht="15.75" customHeight="1">
      <c r="A10" t="s">
        <v>17</v>
      </c>
      <c r="B10">
        <v>255339</v>
      </c>
      <c r="D10" t="s">
        <v>27</v>
      </c>
      <c r="G10">
        <f>ROUND(((C11-B10)*100)/44100,0)</f>
        <v>19804</v>
      </c>
    </row>
    <row r="11" spans="1:10" ht="15.75" customHeight="1">
      <c r="C11">
        <f>8973027+J1</f>
        <v>8989027</v>
      </c>
      <c r="D11" t="s">
        <v>6</v>
      </c>
      <c r="G11" s="1"/>
    </row>
    <row r="12" spans="1:10" ht="15.75" customHeight="1">
      <c r="A12" t="s">
        <v>18</v>
      </c>
      <c r="B12">
        <v>177842</v>
      </c>
      <c r="D12" t="s">
        <v>7</v>
      </c>
      <c r="G12">
        <f>ROUND(((C13-B12)*100)/44100,0)</f>
        <v>21611</v>
      </c>
    </row>
    <row r="13" spans="1:10" ht="15.75" customHeight="1">
      <c r="C13">
        <f>9692298+J1</f>
        <v>9708298</v>
      </c>
      <c r="D13" t="s">
        <v>8</v>
      </c>
      <c r="G13" s="6"/>
    </row>
    <row r="14" spans="1:10" ht="15.75" customHeight="1">
      <c r="A14" s="4" t="s">
        <v>19</v>
      </c>
      <c r="B14">
        <v>221699</v>
      </c>
      <c r="D14" t="s">
        <v>28</v>
      </c>
      <c r="G14">
        <f>ROUND(((C15-B14)*100)/44100,0)</f>
        <v>20413</v>
      </c>
    </row>
    <row r="15" spans="1:10" ht="15.75" customHeight="1">
      <c r="C15">
        <f>9207639+J1</f>
        <v>9223639</v>
      </c>
      <c r="D15" t="s">
        <v>29</v>
      </c>
    </row>
    <row r="16" spans="1:10" ht="15.75" customHeight="1">
      <c r="A16" s="4" t="s">
        <v>20</v>
      </c>
      <c r="B16">
        <v>215649</v>
      </c>
      <c r="D16" t="s">
        <v>30</v>
      </c>
      <c r="G16">
        <f>ROUND(((C17-B16)*100)/44100,0)</f>
        <v>20128</v>
      </c>
    </row>
    <row r="17" spans="1:7" ht="15.75" customHeight="1">
      <c r="C17">
        <f>9076221+J1</f>
        <v>9092221</v>
      </c>
      <c r="D17" t="s">
        <v>31</v>
      </c>
    </row>
    <row r="18" spans="1:7" ht="15.75" customHeight="1">
      <c r="A18" s="4" t="s">
        <v>21</v>
      </c>
      <c r="B18">
        <v>203742</v>
      </c>
      <c r="D18" t="s">
        <v>9</v>
      </c>
      <c r="G18">
        <f>ROUND(((C19-B18)*100)/44100,0)</f>
        <v>21262</v>
      </c>
    </row>
    <row r="19" spans="1:7" ht="15.75" customHeight="1">
      <c r="C19">
        <f>9564408+J1</f>
        <v>9580408</v>
      </c>
      <c r="D19" t="s">
        <v>10</v>
      </c>
    </row>
    <row r="20" spans="1:7" ht="15.75" customHeight="1">
      <c r="A20" s="4" t="s">
        <v>22</v>
      </c>
      <c r="B20">
        <v>170226</v>
      </c>
      <c r="D20" t="s">
        <v>33</v>
      </c>
      <c r="G20">
        <f>ROUND(((C21-B20)*100)/44100,0)</f>
        <v>20040</v>
      </c>
    </row>
    <row r="21" spans="1:7" ht="15.75" customHeight="1">
      <c r="C21">
        <f>8991990+J1</f>
        <v>9007990</v>
      </c>
      <c r="D21" t="s">
        <v>32</v>
      </c>
    </row>
    <row r="22" spans="1:7" ht="15.75" customHeight="1"/>
    <row r="23" spans="1:7" ht="15.75" customHeight="1"/>
    <row r="24" spans="1:7" ht="15.75" customHeight="1"/>
    <row r="25" spans="1:7" ht="15.75" customHeight="1"/>
    <row r="26" spans="1:7" ht="15.75" customHeight="1"/>
    <row r="27" spans="1:7" ht="15.75" customHeight="1"/>
    <row r="28" spans="1:7" ht="15.75" customHeight="1"/>
    <row r="29" spans="1:7" ht="15.75" customHeight="1"/>
    <row r="30" spans="1:7" ht="15.75" customHeight="1"/>
    <row r="31" spans="1:7" ht="15.75" customHeight="1"/>
    <row r="32" spans="1: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frencycoll@gmail.com</dc:creator>
  <cp:lastModifiedBy>Francesca Schiavone - francesca.schiavon10@studio.unib</cp:lastModifiedBy>
  <dcterms:created xsi:type="dcterms:W3CDTF">2025-11-27T10:20:47Z</dcterms:created>
  <dcterms:modified xsi:type="dcterms:W3CDTF">2026-02-24T16:22:07Z</dcterms:modified>
</cp:coreProperties>
</file>